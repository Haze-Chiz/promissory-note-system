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ze\Pictures\Genshin Account\"/>
    </mc:Choice>
  </mc:AlternateContent>
  <xr:revisionPtr revIDLastSave="0" documentId="13_ncr:1_{1F83EC69-5D61-4CF2-9B00-B8FCBC8A91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shin Account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J6" i="1" l="1"/>
</calcChain>
</file>

<file path=xl/sharedStrings.xml><?xml version="1.0" encoding="utf-8"?>
<sst xmlns="http://schemas.openxmlformats.org/spreadsheetml/2006/main" count="53" uniqueCount="53">
  <si>
    <t>Account ID / Label</t>
  </si>
  <si>
    <t>Adventure Rank (AR)</t>
  </si>
  <si>
    <t>Main 5★ Characters</t>
  </si>
  <si>
    <t>Purchase Price (₱)</t>
  </si>
  <si>
    <t>Selling Price (₱)</t>
  </si>
  <si>
    <t>Profit %</t>
  </si>
  <si>
    <t>Ayato C6 Account</t>
  </si>
  <si>
    <t>Midman Fee (%)</t>
  </si>
  <si>
    <t>Account 21</t>
  </si>
  <si>
    <t>Account 22</t>
  </si>
  <si>
    <t>Account 23</t>
  </si>
  <si>
    <t>Account 24</t>
  </si>
  <si>
    <t>Account 25</t>
  </si>
  <si>
    <t>Account 26</t>
  </si>
  <si>
    <t>Account 27</t>
  </si>
  <si>
    <t>Account 28</t>
  </si>
  <si>
    <t>Account 29</t>
  </si>
  <si>
    <t>Account 30</t>
  </si>
  <si>
    <t>Account 31</t>
  </si>
  <si>
    <t>Account 32</t>
  </si>
  <si>
    <t>Account 33</t>
  </si>
  <si>
    <t>Account 34</t>
  </si>
  <si>
    <t>Account 35</t>
  </si>
  <si>
    <t>Account 36</t>
  </si>
  <si>
    <t>Account 37</t>
  </si>
  <si>
    <t>Account 38</t>
  </si>
  <si>
    <t>Account 39</t>
  </si>
  <si>
    <t>Account 40</t>
  </si>
  <si>
    <t>Account 41</t>
  </si>
  <si>
    <t>Account 42</t>
  </si>
  <si>
    <t>Account 43</t>
  </si>
  <si>
    <t>Account 44</t>
  </si>
  <si>
    <t>Account 45</t>
  </si>
  <si>
    <t>Account 46</t>
  </si>
  <si>
    <t>Account 47</t>
  </si>
  <si>
    <t>Account 48</t>
  </si>
  <si>
    <t>Account 49</t>
  </si>
  <si>
    <t>Account 50</t>
  </si>
  <si>
    <t>Wanderer C1</t>
  </si>
  <si>
    <t>Furina C4</t>
  </si>
  <si>
    <t>Mualani C6</t>
  </si>
  <si>
    <t>Raiden C4</t>
  </si>
  <si>
    <t>Chasca C1</t>
  </si>
  <si>
    <t>Jean C6</t>
  </si>
  <si>
    <t>Furina C2</t>
  </si>
  <si>
    <t>Ayaka C6</t>
  </si>
  <si>
    <t>Total Account Sold</t>
  </si>
  <si>
    <t>Total Net Profit</t>
  </si>
  <si>
    <t>Neuvilette C6R1</t>
  </si>
  <si>
    <t>Lauma Premium Team</t>
  </si>
  <si>
    <t>Yelan C6</t>
  </si>
  <si>
    <t>New UID 180***</t>
  </si>
  <si>
    <t>Old UID 800***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</si>
</sst>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8"/>
      <name val="Trebuchet MS"/>
      <family val="2"/>
      <scheme val="minor"/>
    </font>
    <font>
      <b/>
      <sz val="14"/>
      <name val="Calibri"/>
      <family val="2"/>
    </font>
    <font>
      <sz val="14"/>
      <color theme="1"/>
      <name val="Trebuchet MS"/>
      <family val="2"/>
      <scheme val="minor"/>
    </font>
    <font>
      <sz val="14"/>
      <color rgb="FF000000"/>
      <name val="Google Sans Text"/>
    </font>
    <font>
      <sz val="14"/>
      <color rgb="FF006100"/>
      <name val="Trebuchet M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6" fillId="2" borderId="1" xfId="1" applyFont="1" applyBorder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Normal="100" workbookViewId="0">
      <selection activeCell="G15" sqref="G15"/>
    </sheetView>
  </sheetViews>
  <sheetFormatPr defaultRowHeight="18.75"/>
  <cols>
    <col min="1" max="1" width="19.375" style="3" bestFit="1" customWidth="1"/>
    <col min="2" max="2" width="22.375" style="3" bestFit="1" customWidth="1"/>
    <col min="3" max="3" width="25.625" style="3" bestFit="1" customWidth="1"/>
    <col min="4" max="4" width="19.25" style="3" bestFit="1" customWidth="1"/>
    <col min="5" max="5" width="16.75" style="3" bestFit="1" customWidth="1"/>
    <col min="6" max="6" width="17.5" style="3" bestFit="1" customWidth="1"/>
    <col min="7" max="7" width="9" style="3" bestFit="1" customWidth="1"/>
    <col min="8" max="8" width="7.375" style="3" customWidth="1"/>
    <col min="9" max="9" width="21.625" style="3" bestFit="1" customWidth="1"/>
    <col min="10" max="10" width="18.25" style="3" bestFit="1" customWidth="1"/>
    <col min="11" max="11" width="9" style="3"/>
    <col min="12" max="12" width="17.5" style="3" customWidth="1"/>
    <col min="13" max="13" width="14.625" style="3" customWidth="1"/>
    <col min="14" max="16384" width="9" style="3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2"/>
      <c r="I1" s="2"/>
    </row>
    <row r="2" spans="1:10">
      <c r="A2" s="4" t="s">
        <v>8</v>
      </c>
      <c r="B2" s="4">
        <v>58</v>
      </c>
      <c r="C2" s="5" t="s">
        <v>6</v>
      </c>
      <c r="D2" s="4">
        <v>900</v>
      </c>
      <c r="E2" s="4">
        <v>2000</v>
      </c>
      <c r="F2" s="4">
        <v>50</v>
      </c>
      <c r="G2" s="4">
        <f>E2-D2-F2</f>
        <v>1050</v>
      </c>
    </row>
    <row r="3" spans="1:10">
      <c r="A3" s="4" t="s">
        <v>9</v>
      </c>
      <c r="B3" s="4">
        <v>60</v>
      </c>
      <c r="C3" s="4" t="s">
        <v>38</v>
      </c>
      <c r="D3" s="4">
        <v>1400</v>
      </c>
      <c r="E3" s="4">
        <v>2000</v>
      </c>
      <c r="F3" s="4">
        <v>20</v>
      </c>
      <c r="G3" s="4">
        <f t="shared" ref="G3:G31" si="0">E3-D3-F3</f>
        <v>580</v>
      </c>
    </row>
    <row r="4" spans="1:10">
      <c r="A4" s="4" t="s">
        <v>10</v>
      </c>
      <c r="B4" s="4">
        <v>60</v>
      </c>
      <c r="C4" s="5" t="s">
        <v>39</v>
      </c>
      <c r="D4" s="5">
        <v>2217.12</v>
      </c>
      <c r="E4" s="5">
        <v>2500</v>
      </c>
      <c r="F4" s="4">
        <v>0</v>
      </c>
      <c r="G4" s="4">
        <f t="shared" si="0"/>
        <v>282.88000000000011</v>
      </c>
    </row>
    <row r="5" spans="1:10">
      <c r="A5" s="4" t="s">
        <v>11</v>
      </c>
      <c r="B5" s="4">
        <v>55</v>
      </c>
      <c r="C5" s="5" t="s">
        <v>40</v>
      </c>
      <c r="D5" s="4">
        <v>1000</v>
      </c>
      <c r="E5" s="4">
        <v>900</v>
      </c>
      <c r="F5" s="4">
        <v>50</v>
      </c>
      <c r="G5" s="4">
        <f t="shared" si="0"/>
        <v>-150</v>
      </c>
      <c r="I5" s="6" t="s">
        <v>46</v>
      </c>
      <c r="J5" s="6" t="s">
        <v>47</v>
      </c>
    </row>
    <row r="6" spans="1:10">
      <c r="A6" s="4" t="s">
        <v>12</v>
      </c>
      <c r="B6" s="4">
        <v>56</v>
      </c>
      <c r="C6" s="5" t="s">
        <v>41</v>
      </c>
      <c r="D6" s="4">
        <v>0</v>
      </c>
      <c r="E6" s="4">
        <v>600</v>
      </c>
      <c r="F6" s="4">
        <v>0</v>
      </c>
      <c r="G6" s="4">
        <f t="shared" si="0"/>
        <v>600</v>
      </c>
      <c r="I6" s="6">
        <f>COUNT(B2:B31)</f>
        <v>14</v>
      </c>
      <c r="J6" s="6">
        <f>SUM(G2:G31)</f>
        <v>4674.88</v>
      </c>
    </row>
    <row r="7" spans="1:10">
      <c r="A7" s="4" t="s">
        <v>13</v>
      </c>
      <c r="B7" s="4">
        <v>55</v>
      </c>
      <c r="C7" s="5" t="s">
        <v>42</v>
      </c>
      <c r="D7" s="4">
        <v>500</v>
      </c>
      <c r="E7" s="4">
        <v>800</v>
      </c>
      <c r="F7" s="4">
        <v>20</v>
      </c>
      <c r="G7" s="4">
        <f t="shared" si="0"/>
        <v>280</v>
      </c>
    </row>
    <row r="8" spans="1:10">
      <c r="A8" s="4" t="s">
        <v>14</v>
      </c>
      <c r="B8" s="4">
        <v>60</v>
      </c>
      <c r="C8" s="5" t="s">
        <v>43</v>
      </c>
      <c r="D8" s="4">
        <v>1500</v>
      </c>
      <c r="E8" s="4">
        <v>3000</v>
      </c>
      <c r="F8" s="4">
        <v>50</v>
      </c>
      <c r="G8" s="4">
        <f t="shared" si="0"/>
        <v>1450</v>
      </c>
    </row>
    <row r="9" spans="1:10">
      <c r="A9" s="4" t="s">
        <v>15</v>
      </c>
      <c r="B9" s="4">
        <v>59</v>
      </c>
      <c r="C9" s="5" t="s">
        <v>44</v>
      </c>
      <c r="D9" s="4">
        <v>1200</v>
      </c>
      <c r="E9" s="4">
        <v>2000</v>
      </c>
      <c r="F9" s="4">
        <v>48</v>
      </c>
      <c r="G9" s="4">
        <f t="shared" si="0"/>
        <v>752</v>
      </c>
    </row>
    <row r="10" spans="1:10">
      <c r="A10" s="4" t="s">
        <v>16</v>
      </c>
      <c r="B10" s="4">
        <v>53</v>
      </c>
      <c r="C10" s="5" t="s">
        <v>45</v>
      </c>
      <c r="D10" s="4">
        <v>800</v>
      </c>
      <c r="E10" s="4">
        <v>1185</v>
      </c>
      <c r="F10" s="4">
        <v>40</v>
      </c>
      <c r="G10" s="4">
        <f t="shared" si="0"/>
        <v>345</v>
      </c>
    </row>
    <row r="11" spans="1:10">
      <c r="A11" s="4" t="s">
        <v>17</v>
      </c>
      <c r="B11" s="4">
        <v>57</v>
      </c>
      <c r="C11" s="5" t="s">
        <v>48</v>
      </c>
      <c r="D11" s="4">
        <v>1600</v>
      </c>
      <c r="E11" s="4">
        <v>2000</v>
      </c>
      <c r="F11" s="4">
        <v>0</v>
      </c>
      <c r="G11" s="4">
        <f t="shared" si="0"/>
        <v>400</v>
      </c>
    </row>
    <row r="12" spans="1:10">
      <c r="A12" s="4" t="s">
        <v>18</v>
      </c>
      <c r="B12" s="4">
        <v>60</v>
      </c>
      <c r="C12" s="5" t="s">
        <v>49</v>
      </c>
      <c r="D12" s="4">
        <v>1000</v>
      </c>
      <c r="E12" s="4">
        <v>1500</v>
      </c>
      <c r="F12" s="4">
        <v>40</v>
      </c>
      <c r="G12" s="4">
        <f t="shared" si="0"/>
        <v>460</v>
      </c>
    </row>
    <row r="13" spans="1:10">
      <c r="A13" s="4" t="s">
        <v>19</v>
      </c>
      <c r="B13" s="4">
        <v>58</v>
      </c>
      <c r="C13" s="4" t="s">
        <v>50</v>
      </c>
      <c r="D13" s="4">
        <v>1000</v>
      </c>
      <c r="E13" s="4">
        <v>1250</v>
      </c>
      <c r="F13" s="4">
        <v>15</v>
      </c>
      <c r="G13" s="4">
        <f t="shared" si="0"/>
        <v>235</v>
      </c>
    </row>
    <row r="14" spans="1:10">
      <c r="A14" s="4" t="s">
        <v>20</v>
      </c>
      <c r="B14" s="4">
        <v>60</v>
      </c>
      <c r="C14" s="4" t="s">
        <v>52</v>
      </c>
      <c r="D14" s="4">
        <v>2000</v>
      </c>
      <c r="E14" s="4"/>
      <c r="F14" s="4">
        <v>70</v>
      </c>
      <c r="G14" s="4">
        <f t="shared" si="0"/>
        <v>-2070</v>
      </c>
    </row>
    <row r="15" spans="1:10">
      <c r="A15" s="4" t="s">
        <v>21</v>
      </c>
      <c r="B15" s="4">
        <v>59</v>
      </c>
      <c r="C15" s="4" t="s">
        <v>51</v>
      </c>
      <c r="D15" s="4">
        <v>1000</v>
      </c>
      <c r="E15" s="4">
        <v>1500</v>
      </c>
      <c r="F15" s="4">
        <v>40</v>
      </c>
      <c r="G15" s="4">
        <f t="shared" si="0"/>
        <v>460</v>
      </c>
    </row>
    <row r="16" spans="1:10">
      <c r="A16" s="4" t="s">
        <v>22</v>
      </c>
      <c r="B16" s="4"/>
      <c r="C16" s="4"/>
      <c r="D16" s="4"/>
      <c r="E16" s="4"/>
      <c r="F16" s="4"/>
      <c r="G16" s="4">
        <f t="shared" si="0"/>
        <v>0</v>
      </c>
    </row>
    <row r="17" spans="1:7">
      <c r="A17" s="4" t="s">
        <v>23</v>
      </c>
      <c r="B17" s="4"/>
      <c r="C17" s="4"/>
      <c r="D17" s="4"/>
      <c r="E17" s="4"/>
      <c r="F17" s="4"/>
      <c r="G17" s="4">
        <f t="shared" si="0"/>
        <v>0</v>
      </c>
    </row>
    <row r="18" spans="1:7">
      <c r="A18" s="4" t="s">
        <v>24</v>
      </c>
      <c r="B18" s="4"/>
      <c r="C18" s="4"/>
      <c r="D18" s="4"/>
      <c r="E18" s="4"/>
      <c r="F18" s="4"/>
      <c r="G18" s="4">
        <f t="shared" si="0"/>
        <v>0</v>
      </c>
    </row>
    <row r="19" spans="1:7">
      <c r="A19" s="4" t="s">
        <v>25</v>
      </c>
      <c r="B19" s="4"/>
      <c r="C19" s="4"/>
      <c r="D19" s="4"/>
      <c r="E19" s="4"/>
      <c r="F19" s="4"/>
      <c r="G19" s="4">
        <f t="shared" si="0"/>
        <v>0</v>
      </c>
    </row>
    <row r="20" spans="1:7">
      <c r="A20" s="4" t="s">
        <v>26</v>
      </c>
      <c r="B20" s="4"/>
      <c r="C20" s="4"/>
      <c r="D20" s="4"/>
      <c r="E20" s="4"/>
      <c r="F20" s="4"/>
      <c r="G20" s="4">
        <f t="shared" si="0"/>
        <v>0</v>
      </c>
    </row>
    <row r="21" spans="1:7">
      <c r="A21" s="4" t="s">
        <v>27</v>
      </c>
      <c r="B21" s="4"/>
      <c r="C21" s="4"/>
      <c r="D21" s="4"/>
      <c r="E21" s="4"/>
      <c r="F21" s="4"/>
      <c r="G21" s="4">
        <f t="shared" si="0"/>
        <v>0</v>
      </c>
    </row>
    <row r="22" spans="1:7">
      <c r="A22" s="4" t="s">
        <v>28</v>
      </c>
      <c r="B22" s="4"/>
      <c r="C22" s="4"/>
      <c r="D22" s="4"/>
      <c r="E22" s="4"/>
      <c r="F22" s="4"/>
      <c r="G22" s="4">
        <f t="shared" si="0"/>
        <v>0</v>
      </c>
    </row>
    <row r="23" spans="1:7">
      <c r="A23" s="4" t="s">
        <v>29</v>
      </c>
      <c r="B23" s="4"/>
      <c r="C23" s="4"/>
      <c r="D23" s="4"/>
      <c r="E23" s="4"/>
      <c r="F23" s="4"/>
      <c r="G23" s="4">
        <f t="shared" si="0"/>
        <v>0</v>
      </c>
    </row>
    <row r="24" spans="1:7">
      <c r="A24" s="4" t="s">
        <v>30</v>
      </c>
      <c r="B24" s="4"/>
      <c r="C24" s="4"/>
      <c r="D24" s="4"/>
      <c r="E24" s="4"/>
      <c r="F24" s="4"/>
      <c r="G24" s="4">
        <f t="shared" si="0"/>
        <v>0</v>
      </c>
    </row>
    <row r="25" spans="1:7">
      <c r="A25" s="4" t="s">
        <v>31</v>
      </c>
      <c r="B25" s="4"/>
      <c r="C25" s="4"/>
      <c r="D25" s="4"/>
      <c r="E25" s="4"/>
      <c r="F25" s="4"/>
      <c r="G25" s="4">
        <f t="shared" si="0"/>
        <v>0</v>
      </c>
    </row>
    <row r="26" spans="1:7">
      <c r="A26" s="4" t="s">
        <v>32</v>
      </c>
      <c r="B26" s="4"/>
      <c r="C26" s="4"/>
      <c r="D26" s="4"/>
      <c r="E26" s="4"/>
      <c r="F26" s="4"/>
      <c r="G26" s="4">
        <f t="shared" si="0"/>
        <v>0</v>
      </c>
    </row>
    <row r="27" spans="1:7">
      <c r="A27" s="4" t="s">
        <v>33</v>
      </c>
      <c r="B27" s="4"/>
      <c r="C27" s="4"/>
      <c r="D27" s="4"/>
      <c r="E27" s="4"/>
      <c r="F27" s="4"/>
      <c r="G27" s="4">
        <f t="shared" si="0"/>
        <v>0</v>
      </c>
    </row>
    <row r="28" spans="1:7">
      <c r="A28" s="4" t="s">
        <v>34</v>
      </c>
      <c r="B28" s="4"/>
      <c r="C28" s="4"/>
      <c r="D28" s="4"/>
      <c r="E28" s="4"/>
      <c r="F28" s="4"/>
      <c r="G28" s="4">
        <f t="shared" si="0"/>
        <v>0</v>
      </c>
    </row>
    <row r="29" spans="1:7">
      <c r="A29" s="4" t="s">
        <v>35</v>
      </c>
      <c r="B29" s="4"/>
      <c r="C29" s="4"/>
      <c r="D29" s="4"/>
      <c r="E29" s="4"/>
      <c r="F29" s="4"/>
      <c r="G29" s="4">
        <f t="shared" si="0"/>
        <v>0</v>
      </c>
    </row>
    <row r="30" spans="1:7">
      <c r="A30" s="4" t="s">
        <v>36</v>
      </c>
      <c r="B30" s="4"/>
      <c r="C30" s="4"/>
      <c r="D30" s="4"/>
      <c r="E30" s="4"/>
      <c r="F30" s="4"/>
      <c r="G30" s="4">
        <f t="shared" si="0"/>
        <v>0</v>
      </c>
    </row>
    <row r="31" spans="1:7">
      <c r="A31" s="4" t="s">
        <v>37</v>
      </c>
      <c r="B31" s="4"/>
      <c r="C31" s="4"/>
      <c r="D31" s="4"/>
      <c r="E31" s="4"/>
      <c r="F31" s="4"/>
      <c r="G31" s="4">
        <f t="shared" si="0"/>
        <v>0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Genshin Account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Michael Calixtro</cp:lastModifiedBy>
  <dcterms:created xsi:type="dcterms:W3CDTF">2025-09-20T09:58:17Z</dcterms:created>
  <dcterms:modified xsi:type="dcterms:W3CDTF">2025-09-29T13:58:30Z</dcterms:modified>
</cp:coreProperties>
</file>